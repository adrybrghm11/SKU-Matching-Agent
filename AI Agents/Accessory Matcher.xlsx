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andms-my.sharepoint.com/personal/audrey_brigham_shi_com/Documents/AI Agents/"/>
    </mc:Choice>
  </mc:AlternateContent>
  <xr:revisionPtr revIDLastSave="448" documentId="8_{8FF1B666-29C6-40AB-9B2B-9C413BB0A2E2}" xr6:coauthVersionLast="47" xr6:coauthVersionMax="47" xr10:uidLastSave="{C589AF50-43FA-4366-ABB2-1E464BFAC1DC}"/>
  <bookViews>
    <workbookView xWindow="-120" yWindow="-120" windowWidth="29040" windowHeight="15720" xr2:uid="{063990A2-E2E9-4F68-A9BF-0F1D299D81B4}"/>
  </bookViews>
  <sheets>
    <sheet name="AccessoryMatcher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6" i="3" l="1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M15" i="3" s="1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K23" i="3" l="1"/>
  <c r="K11" i="3"/>
  <c r="K19" i="3"/>
  <c r="M13" i="3"/>
  <c r="K14" i="3"/>
  <c r="K22" i="3"/>
  <c r="K7" i="3"/>
  <c r="K15" i="3"/>
  <c r="F23" i="3" a="1"/>
  <c r="F23" i="3" s="1"/>
  <c r="K10" i="3"/>
  <c r="K18" i="3"/>
  <c r="K26" i="3"/>
  <c r="K12" i="3"/>
  <c r="K20" i="3"/>
  <c r="M14" i="3"/>
  <c r="F22" i="3" a="1"/>
  <c r="F22" i="3" s="1"/>
  <c r="K8" i="3"/>
  <c r="K16" i="3"/>
  <c r="K24" i="3"/>
  <c r="K9" i="3"/>
  <c r="K17" i="3"/>
  <c r="K25" i="3"/>
  <c r="K13" i="3"/>
  <c r="K21" i="3"/>
  <c r="F18" i="3" a="1"/>
  <c r="F18" i="3" s="1"/>
  <c r="F10" i="3" a="1"/>
  <c r="F10" i="3" s="1"/>
  <c r="F12" i="3" a="1"/>
  <c r="F12" i="3" s="1"/>
  <c r="F13" i="3" a="1"/>
  <c r="F13" i="3" s="1"/>
  <c r="F21" i="3" a="1"/>
  <c r="F21" i="3" s="1"/>
  <c r="F8" i="3" a="1"/>
  <c r="F8" i="3" s="1"/>
  <c r="F16" i="3" a="1"/>
  <c r="F16" i="3" s="1"/>
  <c r="F9" i="3" a="1"/>
  <c r="F9" i="3" s="1"/>
  <c r="F17" i="3" a="1"/>
  <c r="F17" i="3" s="1"/>
  <c r="F11" i="3" a="1"/>
  <c r="F11" i="3" s="1"/>
  <c r="F19" i="3" a="1"/>
  <c r="F19" i="3" s="1"/>
  <c r="F20" i="3" a="1"/>
  <c r="F20" i="3" s="1"/>
  <c r="F14" i="3" a="1"/>
  <c r="F14" i="3" s="1"/>
  <c r="F7" i="3" a="1"/>
  <c r="F7" i="3" s="1"/>
  <c r="F15" i="3" a="1"/>
  <c r="F1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<sst xmlns="http://schemas.openxmlformats.org/spreadsheetml/2006/main" count="170" uniqueCount="122">
  <si>
    <t>Part Number</t>
  </si>
  <si>
    <t>Description</t>
  </si>
  <si>
    <t>Y8U-00001</t>
  </si>
  <si>
    <t>ZRA-00001</t>
  </si>
  <si>
    <t>ZRA-00023</t>
  </si>
  <si>
    <t>8X8-00141</t>
  </si>
  <si>
    <t>8X8-00164</t>
  </si>
  <si>
    <t>8XB-00139</t>
  </si>
  <si>
    <t>8XB-00186</t>
  </si>
  <si>
    <t>Surface Pro 11 Keyboard Cover with Pen Storage - Platinum</t>
  </si>
  <si>
    <t>8XB-00162</t>
  </si>
  <si>
    <t>EP2-00395</t>
  </si>
  <si>
    <t>8WX-00001</t>
  </si>
  <si>
    <t>8X3-00001</t>
  </si>
  <si>
    <t>T8I-00001</t>
  </si>
  <si>
    <t>Surface Thunderbolt 4 Dock</t>
  </si>
  <si>
    <t>W8Z-00001</t>
  </si>
  <si>
    <t>65w Surface Connect Charger</t>
  </si>
  <si>
    <t>1E4-00001</t>
  </si>
  <si>
    <t>USB-C Travel Hub</t>
  </si>
  <si>
    <t>EP2-19863</t>
  </si>
  <si>
    <t>USB4 Dock</t>
  </si>
  <si>
    <t>ACCESSORY MATCH ALGORITHM</t>
  </si>
  <si>
    <t>NATURAL LANGUAGE INPUT:</t>
  </si>
  <si>
    <t>ACCESSORY REFERENCE TABLE</t>
  </si>
  <si>
    <t>Category</t>
  </si>
  <si>
    <t>Keywords</t>
  </si>
  <si>
    <t>Surface Pro Flex Keyboard with Slim Pen - Black</t>
  </si>
  <si>
    <t>Keyboard</t>
  </si>
  <si>
    <t>Surface Pro Flex Keyboard with pen storage - Black</t>
  </si>
  <si>
    <t>Surface Pro Flex Keyboard with Bold Keyset - Black</t>
  </si>
  <si>
    <t>Surface Pro 11 Keyboard Cover with Pen Storage - Black</t>
  </si>
  <si>
    <t>Surface Pro 11 Keyboard Cover - With Bold Keyset</t>
  </si>
  <si>
    <t>Surface Pro 11 Keyboard Cover - Black (no pen storage)</t>
  </si>
  <si>
    <t>Surface Slim Pen 2 Black</t>
  </si>
  <si>
    <t>Pen</t>
  </si>
  <si>
    <t>slim pen,pen,black,stylus</t>
  </si>
  <si>
    <t>Surface Slim Pen 2 Charger</t>
  </si>
  <si>
    <t>Pen Accessory</t>
  </si>
  <si>
    <t>pen,charger,slim pen charger</t>
  </si>
  <si>
    <t>Dock</t>
  </si>
  <si>
    <t>thunderbolt,dock,tb4,docking station</t>
  </si>
  <si>
    <t>Charger</t>
  </si>
  <si>
    <t>charger,65w,power,surface connect</t>
  </si>
  <si>
    <t>Hub</t>
  </si>
  <si>
    <t>usb-c,travel hub,hub,usb</t>
  </si>
  <si>
    <t>usb4,dock,docking station</t>
  </si>
  <si>
    <t>MATCHING RESULTS</t>
  </si>
  <si>
    <t>Match %</t>
  </si>
  <si>
    <t>Weight</t>
  </si>
  <si>
    <t>Surface Pro 11 Keyboard Cover - Black Bundle Slim Pen</t>
  </si>
  <si>
    <t>Surface Pro 11 Keyboard Cover - Platinum Bundle Slim Pen</t>
  </si>
  <si>
    <t>Score</t>
  </si>
  <si>
    <t>• "Surface Pro Keyboard and a Docking station" → All keyboards + all docks</t>
  </si>
  <si>
    <t>• "Surface Pro Flex Keyboard and Thunderbolt dock" → Flex keyboards + T8I-00001</t>
  </si>
  <si>
    <t>• "Black keyboard with slim pen" → Keyboards with black and slim pen</t>
  </si>
  <si>
    <t>• "USB dock" → EP2-19863 (USB4 Dock)</t>
  </si>
  <si>
    <t>KEYWORD PRIORITY CONFIGURATION</t>
  </si>
  <si>
    <t>Keyword</t>
  </si>
  <si>
    <t>Priority Level</t>
  </si>
  <si>
    <t>Multiplier</t>
  </si>
  <si>
    <t>thunderbolt</t>
  </si>
  <si>
    <t>Highest (5)</t>
  </si>
  <si>
    <t>3x</t>
  </si>
  <si>
    <t>flex</t>
  </si>
  <si>
    <t>High (4)</t>
  </si>
  <si>
    <t>2x</t>
  </si>
  <si>
    <t>slim</t>
  </si>
  <si>
    <t>bold</t>
  </si>
  <si>
    <t>pro 11</t>
  </si>
  <si>
    <t>dock</t>
  </si>
  <si>
    <t>keyboard</t>
  </si>
  <si>
    <t>Standard (3)</t>
  </si>
  <si>
    <t>1x</t>
  </si>
  <si>
    <t>pen</t>
  </si>
  <si>
    <t>black</t>
  </si>
  <si>
    <t>platinum</t>
  </si>
  <si>
    <t>charger</t>
  </si>
  <si>
    <t>hub</t>
  </si>
  <si>
    <t>usb</t>
  </si>
  <si>
    <t>storage</t>
  </si>
  <si>
    <t>cover</t>
  </si>
  <si>
    <t>HOW SCORING WORKS:</t>
  </si>
  <si>
    <t>Score = Σ (keyword match × base weight × multiplier)</t>
  </si>
  <si>
    <t>• Each keyword in your query is checked against each accessory</t>
  </si>
  <si>
    <t>• If found, the accessory's base weight is multiplied by the keyword priority</t>
  </si>
  <si>
    <t>• Higher scores = better matches</t>
  </si>
  <si>
    <t>• Specific terms like 'thunderbolt' or 'flex' boost scores more</t>
  </si>
  <si>
    <t>UniqueRank</t>
  </si>
  <si>
    <t>MATCH SUMMARY:</t>
  </si>
  <si>
    <t>Total Items with Matches:</t>
  </si>
  <si>
    <t>Highest Score:</t>
  </si>
  <si>
    <t>Average Match Score:</t>
  </si>
  <si>
    <t>EP2-33129</t>
  </si>
  <si>
    <t xml:space="preserve">Surface Pro 12-inch Keyboard with Slim Pen - Black </t>
  </si>
  <si>
    <t>EP2-32892</t>
  </si>
  <si>
    <t xml:space="preserve">Surface Pro 12-inch Keyboard - Black </t>
  </si>
  <si>
    <t>EP2-32894</t>
  </si>
  <si>
    <t xml:space="preserve">Surface Pro 12-inch Keyboard - with bold keyset - Black </t>
  </si>
  <si>
    <t>NJ1-00001</t>
  </si>
  <si>
    <t xml:space="preserve">Surface Slim Pen Tip Replacement 80-pack </t>
  </si>
  <si>
    <t>EP2-29830</t>
  </si>
  <si>
    <t xml:space="preserve">45w USB-C Power Supply Unit </t>
  </si>
  <si>
    <t>Misc.</t>
  </si>
  <si>
    <t>keyboard,cover,black,bundle,slim pen,pro 12-inch, Pro 12"</t>
  </si>
  <si>
    <t>keyboard,cover,black,pro 12-inch, Pro 12"</t>
  </si>
  <si>
    <t>keyboard,cover,black, bold, pro 12-inch, Pro 12"</t>
  </si>
  <si>
    <t>slim pen,pen,black,stylus, tip, replacement</t>
  </si>
  <si>
    <t>charger,45w,power,USB-C</t>
  </si>
  <si>
    <t>pro 12-inch</t>
  </si>
  <si>
    <t>pro 12"</t>
  </si>
  <si>
    <t>Pro 12</t>
  </si>
  <si>
    <t>Pro 10</t>
  </si>
  <si>
    <t>flex,keyboard,slim pen,black,pro 11, Pro 10</t>
  </si>
  <si>
    <t>flex,keyboard,pen storage,black,pro 11, Pro 10</t>
  </si>
  <si>
    <t>flex,keyboard,bold keyset,black,pro 11, Pro 10</t>
  </si>
  <si>
    <t>keyboard,cover,black,bundle,slim pen,pro 11, Pro 10</t>
  </si>
  <si>
    <t>keyboard,cover,platinum,bundle,slim pen,pro 11, Pro 10</t>
  </si>
  <si>
    <t>keyboard,cover,pen storage,black,pro 11, Pro 10</t>
  </si>
  <si>
    <t>keyboard,cover,pen storage,platinum,pro 11, Pro 10</t>
  </si>
  <si>
    <t>keyboard,cover,bold keyset,pro 11, Pro 10</t>
  </si>
  <si>
    <t>keyboard,cover,black,no pen,pro 11, Pro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</si>
</sst>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9" fontId="0" fillId="0" borderId="0" xfId="0" applyNumberFormat="1"/>
    <xf numFmtId="0" fontId="4" fillId="0" borderId="0" xfId="0" applyFont="1"/>
    <xf numFmtId="0" fontId="3" fillId="5" borderId="0" xfId="0" applyFont="1" applyFill="1"/>
    <xf numFmtId="0" fontId="3" fillId="6" borderId="0" xfId="0" applyFont="1" applyFill="1"/>
    <xf numFmtId="0" fontId="0" fillId="7" borderId="0" xfId="0" applyFill="1"/>
    <xf numFmtId="9" fontId="0" fillId="7" borderId="0" xfId="0" applyNumberForma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BD45-BB67-442A-A5D6-86209C895629}">
  <dimension ref="A1:M53"/>
  <sheetViews>
    <sheetView tabSelected="1" workbookViewId="0">
      <selection activeCell="B3" sqref="B3:F3"/>
    </sheetView>
  </sheetViews>
  <sheetFormatPr defaultRowHeight="15" x14ac:dyDescent="0.25"/>
  <cols>
    <col min="1" max="1" width="19" customWidth="1"/>
    <col min="2" max="2" width="53.28515625" customWidth="1"/>
    <col min="3" max="3" width="19" customWidth="1"/>
    <col min="4" max="4" width="38.140625" customWidth="1"/>
    <col min="5" max="5" width="11.42578125" customWidth="1"/>
    <col min="6" max="6" width="13.28515625" hidden="1" customWidth="1"/>
    <col min="7" max="7" width="19" customWidth="1"/>
    <col min="8" max="8" width="53.28515625" customWidth="1"/>
    <col min="9" max="9" width="19" customWidth="1"/>
    <col min="10" max="10" width="11.42578125" customWidth="1"/>
    <col min="11" max="11" width="13.28515625" customWidth="1"/>
    <col min="12" max="12" width="38.140625" customWidth="1"/>
    <col min="13" max="13" width="15.28515625" customWidth="1"/>
  </cols>
  <sheetData>
    <row r="1" spans="1:13" ht="18.75" x14ac:dyDescent="0.3">
      <c r="A1" s="2" t="s">
        <v>22</v>
      </c>
    </row>
    <row r="3" spans="1:13" x14ac:dyDescent="0.25">
      <c r="A3" s="1" t="s">
        <v>23</v>
      </c>
      <c r="B3" s="12"/>
      <c r="C3" s="12"/>
      <c r="D3" s="12"/>
      <c r="E3" s="12"/>
      <c r="F3" s="12"/>
    </row>
    <row r="5" spans="1:13" x14ac:dyDescent="0.25">
      <c r="A5" s="1" t="s">
        <v>24</v>
      </c>
      <c r="G5" s="1" t="s">
        <v>47</v>
      </c>
      <c r="L5" s="1" t="s">
        <v>82</v>
      </c>
    </row>
    <row r="6" spans="1:13" x14ac:dyDescent="0.25">
      <c r="A6" s="3" t="s">
        <v>0</v>
      </c>
      <c r="B6" s="3" t="s">
        <v>1</v>
      </c>
      <c r="C6" s="3" t="s">
        <v>25</v>
      </c>
      <c r="D6" s="3" t="s">
        <v>26</v>
      </c>
      <c r="E6" s="3" t="s">
        <v>49</v>
      </c>
      <c r="F6" s="3" t="s">
        <v>88</v>
      </c>
      <c r="G6" s="4" t="s">
        <v>0</v>
      </c>
      <c r="H6" s="4" t="s">
        <v>1</v>
      </c>
      <c r="I6" s="4" t="s">
        <v>25</v>
      </c>
      <c r="J6" s="4" t="s">
        <v>52</v>
      </c>
      <c r="K6" s="4" t="s">
        <v>48</v>
      </c>
      <c r="L6" s="4" t="s">
        <v>83</v>
      </c>
    </row>
    <row r="7" spans="1:13" x14ac:dyDescent="0.25">
      <c r="A7" t="s">
        <v>2</v>
      </c>
      <c r="B7" t="s">
        <v>27</v>
      </c>
      <c r="C7" t="s">
        <v>28</v>
      </c>
      <c r="D7" t="s">
        <v>113</v>
      </c>
      <c r="E7">
        <v>5</v>
      </c>
      <c r="F7" cm="1">
        <f t="array" ref="F7">SUMPRODUCT(($J$7:$J$21&gt;J7)+0)+SUMPRODUCT(($J$7:$J$21=J7)*($A$7:$A$21&lt;A7))+1</f>
        <v>13</v>
      </c>
      <c r="G7" t="str">
        <f t="shared" ref="G7:G21" si="0">A7</f>
        <v>Y8U-00001</v>
      </c>
      <c r="H7" t="str">
        <f t="shared" ref="H7:H21" si="1">B7</f>
        <v>Surface Pro Flex Keyboard with Slim Pen - Black</v>
      </c>
      <c r="I7" t="str">
        <f t="shared" ref="I7:I21" si="2">C7</f>
        <v>Keyboard</v>
      </c>
      <c r="J7">
        <f>IF($B$3="",0,(IF(ISNUMBER(SEARCH("keyboard",$B$3))*ISNUMBER(SEARCH("keyboard",D7)),E7,0)+IF(ISNUMBER(SEARCH("flex",$B$3))*ISNUMBER(SEARCH("flex",D7)),E7*2,0)+IF(ISNUMBER(SEARCH("dock",$B$3))*ISNUMBER(SEARCH("dock",D7)),E7*2,0)+IF(ISNUMBER(SEARCH("thunderbolt",$B$3))*ISNUMBER(SEARCH("thunderbolt",D7)),E7*3,0)+IF(ISNUMBER(SEARCH("pen",$B$3))*ISNUMBER(SEARCH("pen",D7)),E7,0)+IF(ISNUMBER(SEARCH("charger",$B$3))*ISNUMBER(SEARCH("charger",D7)),E7,0)+IF(ISNUMBER(SEARCH("hub",$B$3))*ISNUMBER(SEARCH("hub",D7)),E7,0)+IF(ISNUMBER(SEARCH("black",$B$3))*ISNUMBER(SEARCH("black",D7)),E7,0)+IF(ISNUMBER(SEARCH("platinum",$B$3))*ISNUMBER(SEARCH("platinum",D7)),E7,0)+IF(ISNUMBER(SEARCH("usb",$B$3))*ISNUMBER(SEARCH("usb",D7)),E7,0)+IF(ISNUMBER(SEARCH("bold",$B$3))*ISNUMBER(SEARCH("bold",D7)),E7*2,0)+IF(ISNUMBER(SEARCH("slim",$B$3))*ISNUMBER(SEARCH("slim",D7)),E7*2,0)+IF(ISNUMBER(SEARCH("pro 11",$B$3))*ISNUMBER(SEARCH("pro 11",D7)),E7*2,0)+IF(ISNUMBER(SEARCH("storage",$B$3))*ISNUMBER(SEARCH("storage",D7)),E7,0)+IF(ISNUMBER(SEARCH("cover",$B$3))*ISNUMBER(SEARCH("cover",D7)),E7,0)+IF(ISNUMBER(SEARCH("pro 12-inch",$B$3))*ISNUMBER(SEARCH("pro 12-inch",D7)),E7*3,0)+IF(ISNUMBER(SEARCH("pro 12""",$B$3))*ISNUMBER(SEARCH("pro 12""",D7)),E7*3,0)))</f>
        <v>0</v>
      </c>
      <c r="K7" s="5">
        <f>IF(MAX($J$7:$J$26)=0,0,J7/MAX($J$7:$J$26))</f>
        <v>0</v>
      </c>
      <c r="L7" t="s">
        <v>84</v>
      </c>
    </row>
    <row r="8" spans="1:13" x14ac:dyDescent="0.25">
      <c r="A8" t="s">
        <v>3</v>
      </c>
      <c r="B8" t="s">
        <v>29</v>
      </c>
      <c r="C8" t="s">
        <v>28</v>
      </c>
      <c r="D8" t="s">
        <v>114</v>
      </c>
      <c r="E8">
        <v>4</v>
      </c>
      <c r="F8" cm="1">
        <f t="array" ref="F8">SUMPRODUCT(($J$7:$J$21&gt;J8)+0)+SUMPRODUCT(($J$7:$J$21=J8)*($A$7:$A$21&lt;A8))+1</f>
        <v>14</v>
      </c>
      <c r="G8" s="9" t="str">
        <f t="shared" si="0"/>
        <v>ZRA-00001</v>
      </c>
      <c r="H8" s="9" t="str">
        <f t="shared" si="1"/>
        <v>Surface Pro Flex Keyboard with pen storage - Black</v>
      </c>
      <c r="I8" s="9" t="str">
        <f t="shared" si="2"/>
        <v>Keyboard</v>
      </c>
      <c r="J8" s="9">
        <f>IF($B$3="",0,(IF(ISNUMBER(SEARCH("keyboard",$B$3))*ISNUMBER(SEARCH("keyboard",D8)),E8,0)+IF(ISNUMBER(SEARCH("flex",$B$3))*ISNUMBER(SEARCH("flex",D8)),E8*2,0)+IF(ISNUMBER(SEARCH("dock",$B$3))*ISNUMBER(SEARCH("dock",D8)),E8*2,0)+IF(ISNUMBER(SEARCH("thunderbolt",$B$3))*ISNUMBER(SEARCH("thunderbolt",D8)),E8*3,0)+IF(ISNUMBER(SEARCH("pen",$B$3))*ISNUMBER(SEARCH("pen",D8)),E8,0)+IF(ISNUMBER(SEARCH("charger",$B$3))*ISNUMBER(SEARCH("charger",D8)),E8,0)+IF(ISNUMBER(SEARCH("hub",$B$3))*ISNUMBER(SEARCH("hub",D8)),E8,0)+IF(ISNUMBER(SEARCH("black",$B$3))*ISNUMBER(SEARCH("black",D8)),E8,0)+IF(ISNUMBER(SEARCH("platinum",$B$3))*ISNUMBER(SEARCH("platinum",D8)),E8,0)+IF(ISNUMBER(SEARCH("usb",$B$3))*ISNUMBER(SEARCH("usb",D8)),E8,0)+IF(ISNUMBER(SEARCH("bold",$B$3))*ISNUMBER(SEARCH("bold",D8)),E8*2,0)+IF(ISNUMBER(SEARCH("slim",$B$3))*ISNUMBER(SEARCH("slim",D8)),E8*2,0)+IF(ISNUMBER(SEARCH("pro 11",$B$3))*ISNUMBER(SEARCH("pro 11",D8)),E8*2,0)+IF(ISNUMBER(SEARCH("storage",$B$3))*ISNUMBER(SEARCH("storage",D8)),E8,0)+IF(ISNUMBER(SEARCH("cover",$B$3))*ISNUMBER(SEARCH("cover",D8)),E8,0)+IF(ISNUMBER(SEARCH("pro 12-inch",$B$3))*ISNUMBER(SEARCH("pro 12-inch",D8)),E8*3,0)+IF(ISNUMBER(SEARCH("pro 12""",$B$3))*ISNUMBER(SEARCH("pro 12""",D8)),E8*3,0)))</f>
        <v>0</v>
      </c>
      <c r="K8" s="10">
        <f>IF(MAX($J$7:$J$26)=0,0,J8/MAX($J$7:$J$26))</f>
        <v>0</v>
      </c>
      <c r="L8" t="s">
        <v>85</v>
      </c>
    </row>
    <row r="9" spans="1:13" x14ac:dyDescent="0.25">
      <c r="A9" t="s">
        <v>4</v>
      </c>
      <c r="B9" t="s">
        <v>30</v>
      </c>
      <c r="C9" t="s">
        <v>28</v>
      </c>
      <c r="D9" t="s">
        <v>115</v>
      </c>
      <c r="E9">
        <v>4</v>
      </c>
      <c r="F9" cm="1">
        <f t="array" ref="F9">SUMPRODUCT(($J$7:$J$21&gt;J9)+0)+SUMPRODUCT(($J$7:$J$21=J9)*($A$7:$A$21&lt;A9))+1</f>
        <v>15</v>
      </c>
      <c r="G9" t="str">
        <f t="shared" si="0"/>
        <v>ZRA-00023</v>
      </c>
      <c r="H9" t="str">
        <f t="shared" si="1"/>
        <v>Surface Pro Flex Keyboard with Bold Keyset - Black</v>
      </c>
      <c r="I9" t="str">
        <f t="shared" si="2"/>
        <v>Keyboard</v>
      </c>
      <c r="J9">
        <f>IF($B$3="",0,(IF(ISNUMBER(SEARCH("keyboard",$B$3))*ISNUMBER(SEARCH("keyboard",D9)),E9,0)+IF(ISNUMBER(SEARCH("flex",$B$3))*ISNUMBER(SEARCH("flex",D9)),E9*2,0)+IF(ISNUMBER(SEARCH("dock",$B$3))*ISNUMBER(SEARCH("dock",D9)),E9*2,0)+IF(ISNUMBER(SEARCH("thunderbolt",$B$3))*ISNUMBER(SEARCH("thunderbolt",D9)),E9*3,0)+IF(ISNUMBER(SEARCH("pen",$B$3))*ISNUMBER(SEARCH("pen",D9)),E9,0)+IF(ISNUMBER(SEARCH("charger",$B$3))*ISNUMBER(SEARCH("charger",D9)),E9,0)+IF(ISNUMBER(SEARCH("hub",$B$3))*ISNUMBER(SEARCH("hub",D9)),E9,0)+IF(ISNUMBER(SEARCH("black",$B$3))*ISNUMBER(SEARCH("black",D9)),E9,0)+IF(ISNUMBER(SEARCH("platinum",$B$3))*ISNUMBER(SEARCH("platinum",D9)),E9,0)+IF(ISNUMBER(SEARCH("usb",$B$3))*ISNUMBER(SEARCH("usb",D9)),E9,0)+IF(ISNUMBER(SEARCH("bold",$B$3))*ISNUMBER(SEARCH("bold",D9)),E9*2,0)+IF(ISNUMBER(SEARCH("slim",$B$3))*ISNUMBER(SEARCH("slim",D9)),E9*2,0)+IF(ISNUMBER(SEARCH("pro 11",$B$3))*ISNUMBER(SEARCH("pro 11",D9)),E9*2,0)+IF(ISNUMBER(SEARCH("storage",$B$3))*ISNUMBER(SEARCH("storage",D9)),E9,0)+IF(ISNUMBER(SEARCH("cover",$B$3))*ISNUMBER(SEARCH("cover",D9)),E9,0)+IF(ISNUMBER(SEARCH("pro 12-inch",$B$3))*ISNUMBER(SEARCH("pro 12-inch",D9)),E9*3,0)+IF(ISNUMBER(SEARCH("pro 12""",$B$3))*ISNUMBER(SEARCH("pro 12""",D9)),E9*3,0)))</f>
        <v>0</v>
      </c>
      <c r="K9" s="5">
        <f>IF(MAX($J$7:$J$26)=0,0,J9/MAX($J$7:$J$26))</f>
        <v>0</v>
      </c>
      <c r="L9" t="s">
        <v>86</v>
      </c>
    </row>
    <row r="10" spans="1:13" x14ac:dyDescent="0.25">
      <c r="A10" t="s">
        <v>5</v>
      </c>
      <c r="B10" t="s">
        <v>50</v>
      </c>
      <c r="C10" t="s">
        <v>28</v>
      </c>
      <c r="D10" t="s">
        <v>116</v>
      </c>
      <c r="E10">
        <v>3</v>
      </c>
      <c r="F10" cm="1">
        <f t="array" ref="F10">SUMPRODUCT(($J$7:$J$21&gt;J10)+0)+SUMPRODUCT(($J$7:$J$21=J10)*($A$7:$A$21&lt;A10))+1</f>
        <v>4</v>
      </c>
      <c r="G10" s="9" t="str">
        <f t="shared" si="0"/>
        <v>8X8-00141</v>
      </c>
      <c r="H10" s="9" t="str">
        <f t="shared" si="1"/>
        <v>Surface Pro 11 Keyboard Cover - Black Bundle Slim Pen</v>
      </c>
      <c r="I10" s="9" t="str">
        <f t="shared" si="2"/>
        <v>Keyboard</v>
      </c>
      <c r="J10" s="9">
        <f>IF($B$3="",0,(IF(ISNUMBER(SEARCH("keyboard",$B$3))*ISNUMBER(SEARCH("keyboard",D10)),E10,0)+IF(ISNUMBER(SEARCH("flex",$B$3))*ISNUMBER(SEARCH("flex",D10)),E10*2,0)+IF(ISNUMBER(SEARCH("dock",$B$3))*ISNUMBER(SEARCH("dock",D10)),E10*2,0)+IF(ISNUMBER(SEARCH("thunderbolt",$B$3))*ISNUMBER(SEARCH("thunderbolt",D10)),E10*3,0)+IF(ISNUMBER(SEARCH("pen",$B$3))*ISNUMBER(SEARCH("pen",D10)),E10,0)+IF(ISNUMBER(SEARCH("charger",$B$3))*ISNUMBER(SEARCH("charger",D10)),E10,0)+IF(ISNUMBER(SEARCH("hub",$B$3))*ISNUMBER(SEARCH("hub",D10)),E10,0)+IF(ISNUMBER(SEARCH("black",$B$3))*ISNUMBER(SEARCH("black",D10)),E10,0)+IF(ISNUMBER(SEARCH("platinum",$B$3))*ISNUMBER(SEARCH("platinum",D10)),E10,0)+IF(ISNUMBER(SEARCH("usb",$B$3))*ISNUMBER(SEARCH("usb",D10)),E10,0)+IF(ISNUMBER(SEARCH("bold",$B$3))*ISNUMBER(SEARCH("bold",D10)),E10*2,0)+IF(ISNUMBER(SEARCH("slim",$B$3))*ISNUMBER(SEARCH("slim",D10)),E10*2,0)+IF(ISNUMBER(SEARCH("pro 11",$B$3))*ISNUMBER(SEARCH("pro 11",D10)),E10*2,0)+IF(ISNUMBER(SEARCH("storage",$B$3))*ISNUMBER(SEARCH("storage",D10)),E10,0)+IF(ISNUMBER(SEARCH("cover",$B$3))*ISNUMBER(SEARCH("cover",D10)),E10,0)+IF(ISNUMBER(SEARCH("pro 12-inch",$B$3))*ISNUMBER(SEARCH("pro 12-inch",D10)),E10*3,0)+IF(ISNUMBER(SEARCH("pro 12""",$B$3))*ISNUMBER(SEARCH("pro 12""",D10)),E10*3,0)))</f>
        <v>0</v>
      </c>
      <c r="K10" s="10">
        <f>IF(MAX($J$7:$J$26)=0,0,J10/MAX($J$7:$J$26))</f>
        <v>0</v>
      </c>
      <c r="L10" t="s">
        <v>87</v>
      </c>
    </row>
    <row r="11" spans="1:13" x14ac:dyDescent="0.25">
      <c r="A11" t="s">
        <v>6</v>
      </c>
      <c r="B11" t="s">
        <v>51</v>
      </c>
      <c r="C11" t="s">
        <v>28</v>
      </c>
      <c r="D11" t="s">
        <v>117</v>
      </c>
      <c r="E11">
        <v>3</v>
      </c>
      <c r="F11" cm="1">
        <f t="array" ref="F11">SUMPRODUCT(($J$7:$J$21&gt;J11)+0)+SUMPRODUCT(($J$7:$J$21=J11)*($A$7:$A$21&lt;A11))+1</f>
        <v>5</v>
      </c>
      <c r="G11" t="str">
        <f t="shared" si="0"/>
        <v>8X8-00164</v>
      </c>
      <c r="H11" t="str">
        <f t="shared" si="1"/>
        <v>Surface Pro 11 Keyboard Cover - Platinum Bundle Slim Pen</v>
      </c>
      <c r="I11" t="str">
        <f t="shared" si="2"/>
        <v>Keyboard</v>
      </c>
      <c r="J11">
        <f>IF($B$3="",0,(IF(ISNUMBER(SEARCH("keyboard",$B$3))*ISNUMBER(SEARCH("keyboard",D11)),E11,0)+IF(ISNUMBER(SEARCH("flex",$B$3))*ISNUMBER(SEARCH("flex",D11)),E11*2,0)+IF(ISNUMBER(SEARCH("dock",$B$3))*ISNUMBER(SEARCH("dock",D11)),E11*2,0)+IF(ISNUMBER(SEARCH("thunderbolt",$B$3))*ISNUMBER(SEARCH("thunderbolt",D11)),E11*3,0)+IF(ISNUMBER(SEARCH("pen",$B$3))*ISNUMBER(SEARCH("pen",D11)),E11,0)+IF(ISNUMBER(SEARCH("charger",$B$3))*ISNUMBER(SEARCH("charger",D11)),E11,0)+IF(ISNUMBER(SEARCH("hub",$B$3))*ISNUMBER(SEARCH("hub",D11)),E11,0)+IF(ISNUMBER(SEARCH("black",$B$3))*ISNUMBER(SEARCH("black",D11)),E11,0)+IF(ISNUMBER(SEARCH("platinum",$B$3))*ISNUMBER(SEARCH("platinum",D11)),E11,0)+IF(ISNUMBER(SEARCH("usb",$B$3))*ISNUMBER(SEARCH("usb",D11)),E11,0)+IF(ISNUMBER(SEARCH("bold",$B$3))*ISNUMBER(SEARCH("bold",D11)),E11*2,0)+IF(ISNUMBER(SEARCH("slim",$B$3))*ISNUMBER(SEARCH("slim",D11)),E11*2,0)+IF(ISNUMBER(SEARCH("pro 11",$B$3))*ISNUMBER(SEARCH("pro 11",D11)),E11*2,0)+IF(ISNUMBER(SEARCH("storage",$B$3))*ISNUMBER(SEARCH("storage",D11)),E11,0)+IF(ISNUMBER(SEARCH("cover",$B$3))*ISNUMBER(SEARCH("cover",D11)),E11,0)+IF(ISNUMBER(SEARCH("pro 12-inch",$B$3))*ISNUMBER(SEARCH("pro 12-inch",D11)),E11*3,0)+IF(ISNUMBER(SEARCH("pro 12""",$B$3))*ISNUMBER(SEARCH("pro 12""",D11)),E11*3,0)))</f>
        <v>0</v>
      </c>
      <c r="K11" s="5">
        <f>IF(MAX($J$7:$J$26)=0,0,J11/MAX($J$7:$J$26))</f>
        <v>0</v>
      </c>
    </row>
    <row r="12" spans="1:13" x14ac:dyDescent="0.25">
      <c r="A12" t="s">
        <v>7</v>
      </c>
      <c r="B12" t="s">
        <v>31</v>
      </c>
      <c r="C12" t="s">
        <v>28</v>
      </c>
      <c r="D12" t="s">
        <v>118</v>
      </c>
      <c r="E12">
        <v>3</v>
      </c>
      <c r="F12" cm="1">
        <f t="array" ref="F12">SUMPRODUCT(($J$7:$J$21&gt;J12)+0)+SUMPRODUCT(($J$7:$J$21=J12)*($A$7:$A$21&lt;A12))+1</f>
        <v>6</v>
      </c>
      <c r="G12" s="9" t="str">
        <f t="shared" si="0"/>
        <v>8XB-00139</v>
      </c>
      <c r="H12" s="9" t="str">
        <f t="shared" si="1"/>
        <v>Surface Pro 11 Keyboard Cover with Pen Storage - Black</v>
      </c>
      <c r="I12" s="9" t="str">
        <f t="shared" si="2"/>
        <v>Keyboard</v>
      </c>
      <c r="J12" s="9">
        <f>IF($B$3="",0,(IF(ISNUMBER(SEARCH("keyboard",$B$3))*ISNUMBER(SEARCH("keyboard",D12)),E12,0)+IF(ISNUMBER(SEARCH("flex",$B$3))*ISNUMBER(SEARCH("flex",D12)),E12*2,0)+IF(ISNUMBER(SEARCH("dock",$B$3))*ISNUMBER(SEARCH("dock",D12)),E12*2,0)+IF(ISNUMBER(SEARCH("thunderbolt",$B$3))*ISNUMBER(SEARCH("thunderbolt",D12)),E12*3,0)+IF(ISNUMBER(SEARCH("pen",$B$3))*ISNUMBER(SEARCH("pen",D12)),E12,0)+IF(ISNUMBER(SEARCH("charger",$B$3))*ISNUMBER(SEARCH("charger",D12)),E12,0)+IF(ISNUMBER(SEARCH("hub",$B$3))*ISNUMBER(SEARCH("hub",D12)),E12,0)+IF(ISNUMBER(SEARCH("black",$B$3))*ISNUMBER(SEARCH("black",D12)),E12,0)+IF(ISNUMBER(SEARCH("platinum",$B$3))*ISNUMBER(SEARCH("platinum",D12)),E12,0)+IF(ISNUMBER(SEARCH("usb",$B$3))*ISNUMBER(SEARCH("usb",D12)),E12,0)+IF(ISNUMBER(SEARCH("bold",$B$3))*ISNUMBER(SEARCH("bold",D12)),E12*2,0)+IF(ISNUMBER(SEARCH("slim",$B$3))*ISNUMBER(SEARCH("slim",D12)),E12*2,0)+IF(ISNUMBER(SEARCH("pro 11",$B$3))*ISNUMBER(SEARCH("pro 11",D12)),E12*2,0)+IF(ISNUMBER(SEARCH("storage",$B$3))*ISNUMBER(SEARCH("storage",D12)),E12,0)+IF(ISNUMBER(SEARCH("cover",$B$3))*ISNUMBER(SEARCH("cover",D12)),E12,0)+IF(ISNUMBER(SEARCH("pro 12-inch",$B$3))*ISNUMBER(SEARCH("pro 12-inch",D12)),E12*3,0)+IF(ISNUMBER(SEARCH("pro 12""",$B$3))*ISNUMBER(SEARCH("pro 12""",D12)),E12*3,0)))</f>
        <v>0</v>
      </c>
      <c r="K12" s="10">
        <f>IF(MAX($J$7:$J$26)=0,0,J12/MAX($J$7:$J$26))</f>
        <v>0</v>
      </c>
      <c r="L12" s="1" t="s">
        <v>89</v>
      </c>
    </row>
    <row r="13" spans="1:13" x14ac:dyDescent="0.25">
      <c r="A13" t="s">
        <v>8</v>
      </c>
      <c r="B13" t="s">
        <v>9</v>
      </c>
      <c r="C13" t="s">
        <v>28</v>
      </c>
      <c r="D13" t="s">
        <v>119</v>
      </c>
      <c r="E13">
        <v>3</v>
      </c>
      <c r="F13" cm="1">
        <f t="array" ref="F13">SUMPRODUCT(($J$7:$J$21&gt;J13)+0)+SUMPRODUCT(($J$7:$J$21=J13)*($A$7:$A$21&lt;A13))+1</f>
        <v>8</v>
      </c>
      <c r="G13" t="str">
        <f t="shared" si="0"/>
        <v>8XB-00186</v>
      </c>
      <c r="H13" t="str">
        <f t="shared" si="1"/>
        <v>Surface Pro 11 Keyboard Cover with Pen Storage - Platinum</v>
      </c>
      <c r="I13" t="str">
        <f t="shared" si="2"/>
        <v>Keyboard</v>
      </c>
      <c r="J13">
        <f>IF($B$3="",0,(IF(ISNUMBER(SEARCH("keyboard",$B$3))*ISNUMBER(SEARCH("keyboard",D13)),E13,0)+IF(ISNUMBER(SEARCH("flex",$B$3))*ISNUMBER(SEARCH("flex",D13)),E13*2,0)+IF(ISNUMBER(SEARCH("dock",$B$3))*ISNUMBER(SEARCH("dock",D13)),E13*2,0)+IF(ISNUMBER(SEARCH("thunderbolt",$B$3))*ISNUMBER(SEARCH("thunderbolt",D13)),E13*3,0)+IF(ISNUMBER(SEARCH("pen",$B$3))*ISNUMBER(SEARCH("pen",D13)),E13,0)+IF(ISNUMBER(SEARCH("charger",$B$3))*ISNUMBER(SEARCH("charger",D13)),E13,0)+IF(ISNUMBER(SEARCH("hub",$B$3))*ISNUMBER(SEARCH("hub",D13)),E13,0)+IF(ISNUMBER(SEARCH("black",$B$3))*ISNUMBER(SEARCH("black",D13)),E13,0)+IF(ISNUMBER(SEARCH("platinum",$B$3))*ISNUMBER(SEARCH("platinum",D13)),E13,0)+IF(ISNUMBER(SEARCH("usb",$B$3))*ISNUMBER(SEARCH("usb",D13)),E13,0)+IF(ISNUMBER(SEARCH("bold",$B$3))*ISNUMBER(SEARCH("bold",D13)),E13*2,0)+IF(ISNUMBER(SEARCH("slim",$B$3))*ISNUMBER(SEARCH("slim",D13)),E13*2,0)+IF(ISNUMBER(SEARCH("pro 11",$B$3))*ISNUMBER(SEARCH("pro 11",D13)),E13*2,0)+IF(ISNUMBER(SEARCH("storage",$B$3))*ISNUMBER(SEARCH("storage",D13)),E13,0)+IF(ISNUMBER(SEARCH("cover",$B$3))*ISNUMBER(SEARCH("cover",D13)),E13,0)+IF(ISNUMBER(SEARCH("pro 12-inch",$B$3))*ISNUMBER(SEARCH("pro 12-inch",D13)),E13*3,0)+IF(ISNUMBER(SEARCH("pro 12""",$B$3))*ISNUMBER(SEARCH("pro 12""",D13)),E13*3,0)))</f>
        <v>0</v>
      </c>
      <c r="K13" s="5">
        <f>IF(MAX($J$7:$J$26)=0,0,J13/MAX($J$7:$J$26))</f>
        <v>0</v>
      </c>
      <c r="L13" t="s">
        <v>90</v>
      </c>
      <c r="M13" s="1">
        <f>COUNTIF(J7:J26,"&gt;0")</f>
        <v>0</v>
      </c>
    </row>
    <row r="14" spans="1:13" x14ac:dyDescent="0.25">
      <c r="A14" t="s">
        <v>10</v>
      </c>
      <c r="B14" t="s">
        <v>32</v>
      </c>
      <c r="C14" t="s">
        <v>28</v>
      </c>
      <c r="D14" t="s">
        <v>120</v>
      </c>
      <c r="E14">
        <v>3</v>
      </c>
      <c r="F14" cm="1">
        <f t="array" ref="F14">SUMPRODUCT(($J$7:$J$21&gt;J14)+0)+SUMPRODUCT(($J$7:$J$21=J14)*($A$7:$A$21&lt;A14))+1</f>
        <v>7</v>
      </c>
      <c r="G14" s="9" t="str">
        <f t="shared" si="0"/>
        <v>8XB-00162</v>
      </c>
      <c r="H14" s="9" t="str">
        <f t="shared" si="1"/>
        <v>Surface Pro 11 Keyboard Cover - With Bold Keyset</v>
      </c>
      <c r="I14" s="9" t="str">
        <f t="shared" si="2"/>
        <v>Keyboard</v>
      </c>
      <c r="J14" s="9">
        <f>IF($B$3="",0,(IF(ISNUMBER(SEARCH("keyboard",$B$3))*ISNUMBER(SEARCH("keyboard",D14)),E14,0)+IF(ISNUMBER(SEARCH("flex",$B$3))*ISNUMBER(SEARCH("flex",D14)),E14*2,0)+IF(ISNUMBER(SEARCH("dock",$B$3))*ISNUMBER(SEARCH("dock",D14)),E14*2,0)+IF(ISNUMBER(SEARCH("thunderbolt",$B$3))*ISNUMBER(SEARCH("thunderbolt",D14)),E14*3,0)+IF(ISNUMBER(SEARCH("pen",$B$3))*ISNUMBER(SEARCH("pen",D14)),E14,0)+IF(ISNUMBER(SEARCH("charger",$B$3))*ISNUMBER(SEARCH("charger",D14)),E14,0)+IF(ISNUMBER(SEARCH("hub",$B$3))*ISNUMBER(SEARCH("hub",D14)),E14,0)+IF(ISNUMBER(SEARCH("black",$B$3))*ISNUMBER(SEARCH("black",D14)),E14,0)+IF(ISNUMBER(SEARCH("platinum",$B$3))*ISNUMBER(SEARCH("platinum",D14)),E14,0)+IF(ISNUMBER(SEARCH("usb",$B$3))*ISNUMBER(SEARCH("usb",D14)),E14,0)+IF(ISNUMBER(SEARCH("bold",$B$3))*ISNUMBER(SEARCH("bold",D14)),E14*2,0)+IF(ISNUMBER(SEARCH("slim",$B$3))*ISNUMBER(SEARCH("slim",D14)),E14*2,0)+IF(ISNUMBER(SEARCH("pro 11",$B$3))*ISNUMBER(SEARCH("pro 11",D14)),E14*2,0)+IF(ISNUMBER(SEARCH("storage",$B$3))*ISNUMBER(SEARCH("storage",D14)),E14,0)+IF(ISNUMBER(SEARCH("cover",$B$3))*ISNUMBER(SEARCH("cover",D14)),E14,0)+IF(ISNUMBER(SEARCH("pro 12-inch",$B$3))*ISNUMBER(SEARCH("pro 12-inch",D14)),E14*3,0)+IF(ISNUMBER(SEARCH("pro 12""",$B$3))*ISNUMBER(SEARCH("pro 12""",D14)),E14*3,0)))</f>
        <v>0</v>
      </c>
      <c r="K14" s="10">
        <f>IF(MAX($J$7:$J$26)=0,0,J14/MAX($J$7:$J$26))</f>
        <v>0</v>
      </c>
      <c r="L14" t="s">
        <v>91</v>
      </c>
      <c r="M14">
        <f>MAX(J7:J26)</f>
        <v>0</v>
      </c>
    </row>
    <row r="15" spans="1:13" x14ac:dyDescent="0.25">
      <c r="A15" t="s">
        <v>11</v>
      </c>
      <c r="B15" t="s">
        <v>33</v>
      </c>
      <c r="C15" t="s">
        <v>28</v>
      </c>
      <c r="D15" t="s">
        <v>121</v>
      </c>
      <c r="E15">
        <v>2</v>
      </c>
      <c r="F15" cm="1">
        <f t="array" ref="F15">SUMPRODUCT(($J$7:$J$21&gt;J15)+0)+SUMPRODUCT(($J$7:$J$21=J15)*($A$7:$A$21&lt;A15))+1</f>
        <v>9</v>
      </c>
      <c r="G15" t="str">
        <f t="shared" si="0"/>
        <v>EP2-00395</v>
      </c>
      <c r="H15" t="str">
        <f t="shared" si="1"/>
        <v>Surface Pro 11 Keyboard Cover - Black (no pen storage)</v>
      </c>
      <c r="I15" t="str">
        <f t="shared" si="2"/>
        <v>Keyboard</v>
      </c>
      <c r="J15">
        <f>IF($B$3="",0,(IF(ISNUMBER(SEARCH("keyboard",$B$3))*ISNUMBER(SEARCH("keyboard",D15)),E15,0)+IF(ISNUMBER(SEARCH("flex",$B$3))*ISNUMBER(SEARCH("flex",D15)),E15*2,0)+IF(ISNUMBER(SEARCH("dock",$B$3))*ISNUMBER(SEARCH("dock",D15)),E15*2,0)+IF(ISNUMBER(SEARCH("thunderbolt",$B$3))*ISNUMBER(SEARCH("thunderbolt",D15)),E15*3,0)+IF(ISNUMBER(SEARCH("pen",$B$3))*ISNUMBER(SEARCH("pen",D15)),E15,0)+IF(ISNUMBER(SEARCH("charger",$B$3))*ISNUMBER(SEARCH("charger",D15)),E15,0)+IF(ISNUMBER(SEARCH("hub",$B$3))*ISNUMBER(SEARCH("hub",D15)),E15,0)+IF(ISNUMBER(SEARCH("black",$B$3))*ISNUMBER(SEARCH("black",D15)),E15,0)+IF(ISNUMBER(SEARCH("platinum",$B$3))*ISNUMBER(SEARCH("platinum",D15)),E15,0)+IF(ISNUMBER(SEARCH("usb",$B$3))*ISNUMBER(SEARCH("usb",D15)),E15,0)+IF(ISNUMBER(SEARCH("bold",$B$3))*ISNUMBER(SEARCH("bold",D15)),E15*2,0)+IF(ISNUMBER(SEARCH("slim",$B$3))*ISNUMBER(SEARCH("slim",D15)),E15*2,0)+IF(ISNUMBER(SEARCH("pro 11",$B$3))*ISNUMBER(SEARCH("pro 11",D15)),E15*2,0)+IF(ISNUMBER(SEARCH("storage",$B$3))*ISNUMBER(SEARCH("storage",D15)),E15,0)+IF(ISNUMBER(SEARCH("cover",$B$3))*ISNUMBER(SEARCH("cover",D15)),E15,0)+IF(ISNUMBER(SEARCH("pro 12-inch",$B$3))*ISNUMBER(SEARCH("pro 12-inch",D15)),E15*3,0)+IF(ISNUMBER(SEARCH("pro 12""",$B$3))*ISNUMBER(SEARCH("pro 12""",D15)),E15*3,0)))</f>
        <v>0</v>
      </c>
      <c r="K15" s="5">
        <f>IF(MAX($J$7:$J$26)=0,0,J15/MAX($J$7:$J$26))</f>
        <v>0</v>
      </c>
      <c r="L15" t="s">
        <v>92</v>
      </c>
      <c r="M15" s="11">
        <f>IF(COUNTIF(J7:J26,"&gt;0")=0,0,AVERAGEIF(J7:J26,"&gt;0"))</f>
        <v>0</v>
      </c>
    </row>
    <row r="16" spans="1:13" x14ac:dyDescent="0.25">
      <c r="A16" t="s">
        <v>12</v>
      </c>
      <c r="B16" t="s">
        <v>34</v>
      </c>
      <c r="C16" t="s">
        <v>35</v>
      </c>
      <c r="D16" t="s">
        <v>36</v>
      </c>
      <c r="E16">
        <v>3</v>
      </c>
      <c r="F16" cm="1">
        <f t="array" ref="F16">SUMPRODUCT(($J$7:$J$21&gt;J16)+0)+SUMPRODUCT(($J$7:$J$21=J16)*($A$7:$A$21&lt;A16))+1</f>
        <v>2</v>
      </c>
      <c r="G16" s="9" t="str">
        <f t="shared" si="0"/>
        <v>8WX-00001</v>
      </c>
      <c r="H16" s="9" t="str">
        <f t="shared" si="1"/>
        <v>Surface Slim Pen 2 Black</v>
      </c>
      <c r="I16" s="9" t="str">
        <f t="shared" si="2"/>
        <v>Pen</v>
      </c>
      <c r="J16" s="9">
        <f>IF($B$3="",0,(IF(ISNUMBER(SEARCH("keyboard",$B$3))*ISNUMBER(SEARCH("keyboard",D16)),E16,0)+IF(ISNUMBER(SEARCH("flex",$B$3))*ISNUMBER(SEARCH("flex",D16)),E16*2,0)+IF(ISNUMBER(SEARCH("dock",$B$3))*ISNUMBER(SEARCH("dock",D16)),E16*2,0)+IF(ISNUMBER(SEARCH("thunderbolt",$B$3))*ISNUMBER(SEARCH("thunderbolt",D16)),E16*3,0)+IF(ISNUMBER(SEARCH("pen",$B$3))*ISNUMBER(SEARCH("pen",D16)),E16,0)+IF(ISNUMBER(SEARCH("charger",$B$3))*ISNUMBER(SEARCH("charger",D16)),E16,0)+IF(ISNUMBER(SEARCH("hub",$B$3))*ISNUMBER(SEARCH("hub",D16)),E16,0)+IF(ISNUMBER(SEARCH("black",$B$3))*ISNUMBER(SEARCH("black",D16)),E16,0)+IF(ISNUMBER(SEARCH("platinum",$B$3))*ISNUMBER(SEARCH("platinum",D16)),E16,0)+IF(ISNUMBER(SEARCH("usb",$B$3))*ISNUMBER(SEARCH("usb",D16)),E16,0)+IF(ISNUMBER(SEARCH("bold",$B$3))*ISNUMBER(SEARCH("bold",D16)),E16*2,0)+IF(ISNUMBER(SEARCH("slim",$B$3))*ISNUMBER(SEARCH("slim",D16)),E16*2,0)+IF(ISNUMBER(SEARCH("pro 11",$B$3))*ISNUMBER(SEARCH("pro 11",D16)),E16*2,0)+IF(ISNUMBER(SEARCH("storage",$B$3))*ISNUMBER(SEARCH("storage",D16)),E16,0)+IF(ISNUMBER(SEARCH("cover",$B$3))*ISNUMBER(SEARCH("cover",D16)),E16,0)+IF(ISNUMBER(SEARCH("pro 12-inch",$B$3))*ISNUMBER(SEARCH("pro 12-inch",D16)),E16*3,0)+IF(ISNUMBER(SEARCH("pro 12""",$B$3))*ISNUMBER(SEARCH("pro 12""",D16)),E16*3,0)))</f>
        <v>0</v>
      </c>
      <c r="K16" s="10">
        <f>IF(MAX($J$7:$J$26)=0,0,J16/MAX($J$7:$J$26))</f>
        <v>0</v>
      </c>
    </row>
    <row r="17" spans="1:11" x14ac:dyDescent="0.25">
      <c r="A17" t="s">
        <v>13</v>
      </c>
      <c r="B17" t="s">
        <v>37</v>
      </c>
      <c r="C17" t="s">
        <v>38</v>
      </c>
      <c r="D17" t="s">
        <v>39</v>
      </c>
      <c r="E17">
        <v>2</v>
      </c>
      <c r="F17" cm="1">
        <f t="array" ref="F17">SUMPRODUCT(($J$7:$J$21&gt;J17)+0)+SUMPRODUCT(($J$7:$J$21=J17)*($A$7:$A$21&lt;A17))+1</f>
        <v>3</v>
      </c>
      <c r="G17" t="str">
        <f t="shared" si="0"/>
        <v>8X3-00001</v>
      </c>
      <c r="H17" t="str">
        <f t="shared" si="1"/>
        <v>Surface Slim Pen 2 Charger</v>
      </c>
      <c r="I17" t="str">
        <f t="shared" si="2"/>
        <v>Pen Accessory</v>
      </c>
      <c r="J17">
        <f>IF($B$3="",0,(IF(ISNUMBER(SEARCH("keyboard",$B$3))*ISNUMBER(SEARCH("keyboard",D17)),E17,0)+IF(ISNUMBER(SEARCH("flex",$B$3))*ISNUMBER(SEARCH("flex",D17)),E17*2,0)+IF(ISNUMBER(SEARCH("dock",$B$3))*ISNUMBER(SEARCH("dock",D17)),E17*2,0)+IF(ISNUMBER(SEARCH("thunderbolt",$B$3))*ISNUMBER(SEARCH("thunderbolt",D17)),E17*3,0)+IF(ISNUMBER(SEARCH("pen",$B$3))*ISNUMBER(SEARCH("pen",D17)),E17,0)+IF(ISNUMBER(SEARCH("charger",$B$3))*ISNUMBER(SEARCH("charger",D17)),E17,0)+IF(ISNUMBER(SEARCH("hub",$B$3))*ISNUMBER(SEARCH("hub",D17)),E17,0)+IF(ISNUMBER(SEARCH("black",$B$3))*ISNUMBER(SEARCH("black",D17)),E17,0)+IF(ISNUMBER(SEARCH("platinum",$B$3))*ISNUMBER(SEARCH("platinum",D17)),E17,0)+IF(ISNUMBER(SEARCH("usb",$B$3))*ISNUMBER(SEARCH("usb",D17)),E17,0)+IF(ISNUMBER(SEARCH("bold",$B$3))*ISNUMBER(SEARCH("bold",D17)),E17*2,0)+IF(ISNUMBER(SEARCH("slim",$B$3))*ISNUMBER(SEARCH("slim",D17)),E17*2,0)+IF(ISNUMBER(SEARCH("pro 11",$B$3))*ISNUMBER(SEARCH("pro 11",D17)),E17*2,0)+IF(ISNUMBER(SEARCH("storage",$B$3))*ISNUMBER(SEARCH("storage",D17)),E17,0)+IF(ISNUMBER(SEARCH("cover",$B$3))*ISNUMBER(SEARCH("cover",D17)),E17,0)+IF(ISNUMBER(SEARCH("pro 12-inch",$B$3))*ISNUMBER(SEARCH("pro 12-inch",D17)),E17*3,0)+IF(ISNUMBER(SEARCH("pro 12""",$B$3))*ISNUMBER(SEARCH("pro 12""",D17)),E17*3,0)))</f>
        <v>0</v>
      </c>
      <c r="K17" s="5">
        <f>IF(MAX($J$7:$J$26)=0,0,J17/MAX($J$7:$J$26))</f>
        <v>0</v>
      </c>
    </row>
    <row r="18" spans="1:11" x14ac:dyDescent="0.25">
      <c r="A18" t="s">
        <v>14</v>
      </c>
      <c r="B18" t="s">
        <v>15</v>
      </c>
      <c r="C18" t="s">
        <v>40</v>
      </c>
      <c r="D18" t="s">
        <v>41</v>
      </c>
      <c r="E18">
        <v>5</v>
      </c>
      <c r="F18" cm="1">
        <f t="array" ref="F18">SUMPRODUCT(($J$7:$J$21&gt;J18)+0)+SUMPRODUCT(($J$7:$J$21=J18)*($A$7:$A$21&lt;A18))+1</f>
        <v>11</v>
      </c>
      <c r="G18" s="9" t="str">
        <f t="shared" si="0"/>
        <v>T8I-00001</v>
      </c>
      <c r="H18" s="9" t="str">
        <f t="shared" si="1"/>
        <v>Surface Thunderbolt 4 Dock</v>
      </c>
      <c r="I18" s="9" t="str">
        <f t="shared" si="2"/>
        <v>Dock</v>
      </c>
      <c r="J18" s="9">
        <f>IF($B$3="",0,(IF(ISNUMBER(SEARCH("keyboard",$B$3))*ISNUMBER(SEARCH("keyboard",D18)),E18,0)+IF(ISNUMBER(SEARCH("flex",$B$3))*ISNUMBER(SEARCH("flex",D18)),E18*2,0)+IF(ISNUMBER(SEARCH("dock",$B$3))*ISNUMBER(SEARCH("dock",D18)),E18*2,0)+IF(ISNUMBER(SEARCH("thunderbolt",$B$3))*ISNUMBER(SEARCH("thunderbolt",D18)),E18*3,0)+IF(ISNUMBER(SEARCH("pen",$B$3))*ISNUMBER(SEARCH("pen",D18)),E18,0)+IF(ISNUMBER(SEARCH("charger",$B$3))*ISNUMBER(SEARCH("charger",D18)),E18,0)+IF(ISNUMBER(SEARCH("hub",$B$3))*ISNUMBER(SEARCH("hub",D18)),E18,0)+IF(ISNUMBER(SEARCH("black",$B$3))*ISNUMBER(SEARCH("black",D18)),E18,0)+IF(ISNUMBER(SEARCH("platinum",$B$3))*ISNUMBER(SEARCH("platinum",D18)),E18,0)+IF(ISNUMBER(SEARCH("usb",$B$3))*ISNUMBER(SEARCH("usb",D18)),E18,0)+IF(ISNUMBER(SEARCH("bold",$B$3))*ISNUMBER(SEARCH("bold",D18)),E18*2,0)+IF(ISNUMBER(SEARCH("slim",$B$3))*ISNUMBER(SEARCH("slim",D18)),E18*2,0)+IF(ISNUMBER(SEARCH("pro 11",$B$3))*ISNUMBER(SEARCH("pro 11",D18)),E18*2,0)+IF(ISNUMBER(SEARCH("storage",$B$3))*ISNUMBER(SEARCH("storage",D18)),E18,0)+IF(ISNUMBER(SEARCH("cover",$B$3))*ISNUMBER(SEARCH("cover",D18)),E18,0)+IF(ISNUMBER(SEARCH("pro 12-inch",$B$3))*ISNUMBER(SEARCH("pro 12-inch",D18)),E18*3,0)+IF(ISNUMBER(SEARCH("pro 12""",$B$3))*ISNUMBER(SEARCH("pro 12""",D18)),E18*3,0)))</f>
        <v>0</v>
      </c>
      <c r="K18" s="10">
        <f>IF(MAX($J$7:$J$26)=0,0,J18/MAX($J$7:$J$26))</f>
        <v>0</v>
      </c>
    </row>
    <row r="19" spans="1:11" x14ac:dyDescent="0.25">
      <c r="A19" t="s">
        <v>16</v>
      </c>
      <c r="B19" t="s">
        <v>17</v>
      </c>
      <c r="C19" t="s">
        <v>42</v>
      </c>
      <c r="D19" t="s">
        <v>43</v>
      </c>
      <c r="E19">
        <v>2</v>
      </c>
      <c r="F19" cm="1">
        <f t="array" ref="F19">SUMPRODUCT(($J$7:$J$21&gt;J19)+0)+SUMPRODUCT(($J$7:$J$21=J19)*($A$7:$A$21&lt;A19))+1</f>
        <v>12</v>
      </c>
      <c r="G19" t="str">
        <f t="shared" si="0"/>
        <v>W8Z-00001</v>
      </c>
      <c r="H19" t="str">
        <f t="shared" si="1"/>
        <v>65w Surface Connect Charger</v>
      </c>
      <c r="I19" t="str">
        <f t="shared" si="2"/>
        <v>Charger</v>
      </c>
      <c r="J19">
        <f>IF($B$3="",0,(IF(ISNUMBER(SEARCH("keyboard",$B$3))*ISNUMBER(SEARCH("keyboard",D19)),E19,0)+IF(ISNUMBER(SEARCH("flex",$B$3))*ISNUMBER(SEARCH("flex",D19)),E19*2,0)+IF(ISNUMBER(SEARCH("dock",$B$3))*ISNUMBER(SEARCH("dock",D19)),E19*2,0)+IF(ISNUMBER(SEARCH("thunderbolt",$B$3))*ISNUMBER(SEARCH("thunderbolt",D19)),E19*3,0)+IF(ISNUMBER(SEARCH("pen",$B$3))*ISNUMBER(SEARCH("pen",D19)),E19,0)+IF(ISNUMBER(SEARCH("charger",$B$3))*ISNUMBER(SEARCH("charger",D19)),E19,0)+IF(ISNUMBER(SEARCH("hub",$B$3))*ISNUMBER(SEARCH("hub",D19)),E19,0)+IF(ISNUMBER(SEARCH("black",$B$3))*ISNUMBER(SEARCH("black",D19)),E19,0)+IF(ISNUMBER(SEARCH("platinum",$B$3))*ISNUMBER(SEARCH("platinum",D19)),E19,0)+IF(ISNUMBER(SEARCH("usb",$B$3))*ISNUMBER(SEARCH("usb",D19)),E19,0)+IF(ISNUMBER(SEARCH("bold",$B$3))*ISNUMBER(SEARCH("bold",D19)),E19*2,0)+IF(ISNUMBER(SEARCH("slim",$B$3))*ISNUMBER(SEARCH("slim",D19)),E19*2,0)+IF(ISNUMBER(SEARCH("pro 11",$B$3))*ISNUMBER(SEARCH("pro 11",D19)),E19*2,0)+IF(ISNUMBER(SEARCH("storage",$B$3))*ISNUMBER(SEARCH("storage",D19)),E19,0)+IF(ISNUMBER(SEARCH("cover",$B$3))*ISNUMBER(SEARCH("cover",D19)),E19,0)+IF(ISNUMBER(SEARCH("pro 12-inch",$B$3))*ISNUMBER(SEARCH("pro 12-inch",D19)),E19*3,0)+IF(ISNUMBER(SEARCH("pro 12""",$B$3))*ISNUMBER(SEARCH("pro 12""",D19)),E19*3,0)))</f>
        <v>0</v>
      </c>
      <c r="K19" s="5">
        <f>IF(MAX($J$7:$J$26)=0,0,J19/MAX($J$7:$J$26))</f>
        <v>0</v>
      </c>
    </row>
    <row r="20" spans="1:11" x14ac:dyDescent="0.25">
      <c r="A20" t="s">
        <v>18</v>
      </c>
      <c r="B20" t="s">
        <v>19</v>
      </c>
      <c r="C20" t="s">
        <v>44</v>
      </c>
      <c r="D20" t="s">
        <v>45</v>
      </c>
      <c r="E20">
        <v>2</v>
      </c>
      <c r="F20" cm="1">
        <f t="array" ref="F20">SUMPRODUCT(($J$7:$J$21&gt;J20)+0)+SUMPRODUCT(($J$7:$J$21=J20)*($A$7:$A$21&lt;A20))+1</f>
        <v>1</v>
      </c>
      <c r="G20" s="9" t="str">
        <f t="shared" si="0"/>
        <v>1E4-00001</v>
      </c>
      <c r="H20" s="9" t="str">
        <f t="shared" si="1"/>
        <v>USB-C Travel Hub</v>
      </c>
      <c r="I20" s="9" t="str">
        <f t="shared" si="2"/>
        <v>Hub</v>
      </c>
      <c r="J20" s="9">
        <f>IF($B$3="",0,(IF(ISNUMBER(SEARCH("keyboard",$B$3))*ISNUMBER(SEARCH("keyboard",D20)),E20,0)+IF(ISNUMBER(SEARCH("flex",$B$3))*ISNUMBER(SEARCH("flex",D20)),E20*2,0)+IF(ISNUMBER(SEARCH("dock",$B$3))*ISNUMBER(SEARCH("dock",D20)),E20*2,0)+IF(ISNUMBER(SEARCH("thunderbolt",$B$3))*ISNUMBER(SEARCH("thunderbolt",D20)),E20*3,0)+IF(ISNUMBER(SEARCH("pen",$B$3))*ISNUMBER(SEARCH("pen",D20)),E20,0)+IF(ISNUMBER(SEARCH("charger",$B$3))*ISNUMBER(SEARCH("charger",D20)),E20,0)+IF(ISNUMBER(SEARCH("hub",$B$3))*ISNUMBER(SEARCH("hub",D20)),E20,0)+IF(ISNUMBER(SEARCH("black",$B$3))*ISNUMBER(SEARCH("black",D20)),E20,0)+IF(ISNUMBER(SEARCH("platinum",$B$3))*ISNUMBER(SEARCH("platinum",D20)),E20,0)+IF(ISNUMBER(SEARCH("usb",$B$3))*ISNUMBER(SEARCH("usb",D20)),E20,0)+IF(ISNUMBER(SEARCH("bold",$B$3))*ISNUMBER(SEARCH("bold",D20)),E20*2,0)+IF(ISNUMBER(SEARCH("slim",$B$3))*ISNUMBER(SEARCH("slim",D20)),E20*2,0)+IF(ISNUMBER(SEARCH("pro 11",$B$3))*ISNUMBER(SEARCH("pro 11",D20)),E20*2,0)+IF(ISNUMBER(SEARCH("storage",$B$3))*ISNUMBER(SEARCH("storage",D20)),E20,0)+IF(ISNUMBER(SEARCH("cover",$B$3))*ISNUMBER(SEARCH("cover",D20)),E20,0)+IF(ISNUMBER(SEARCH("pro 12-inch",$B$3))*ISNUMBER(SEARCH("pro 12-inch",D20)),E20*3,0)+IF(ISNUMBER(SEARCH("pro 12""",$B$3))*ISNUMBER(SEARCH("pro 12""",D20)),E20*3,0)))</f>
        <v>0</v>
      </c>
      <c r="K20" s="10">
        <f>IF(MAX($J$7:$J$26)=0,0,J20/MAX($J$7:$J$26))</f>
        <v>0</v>
      </c>
    </row>
    <row r="21" spans="1:11" x14ac:dyDescent="0.25">
      <c r="A21" t="s">
        <v>20</v>
      </c>
      <c r="B21" t="s">
        <v>21</v>
      </c>
      <c r="C21" t="s">
        <v>40</v>
      </c>
      <c r="D21" t="s">
        <v>46</v>
      </c>
      <c r="E21">
        <v>4</v>
      </c>
      <c r="F21" cm="1">
        <f t="array" ref="F21">SUMPRODUCT(($J$7:$J$21&gt;J21)+0)+SUMPRODUCT(($J$7:$J$21=J21)*($A$7:$A$21&lt;A21))+1</f>
        <v>10</v>
      </c>
      <c r="G21" t="str">
        <f t="shared" si="0"/>
        <v>EP2-19863</v>
      </c>
      <c r="H21" t="str">
        <f t="shared" si="1"/>
        <v>USB4 Dock</v>
      </c>
      <c r="I21" t="str">
        <f t="shared" si="2"/>
        <v>Dock</v>
      </c>
      <c r="J21">
        <f>IF($B$3="",0,(IF(ISNUMBER(SEARCH("keyboard",$B$3))*ISNUMBER(SEARCH("keyboard",D21)),E21,0)+IF(ISNUMBER(SEARCH("flex",$B$3))*ISNUMBER(SEARCH("flex",D21)),E21*2,0)+IF(ISNUMBER(SEARCH("dock",$B$3))*ISNUMBER(SEARCH("dock",D21)),E21*2,0)+IF(ISNUMBER(SEARCH("thunderbolt",$B$3))*ISNUMBER(SEARCH("thunderbolt",D21)),E21*3,0)+IF(ISNUMBER(SEARCH("pen",$B$3))*ISNUMBER(SEARCH("pen",D21)),E21,0)+IF(ISNUMBER(SEARCH("charger",$B$3))*ISNUMBER(SEARCH("charger",D21)),E21,0)+IF(ISNUMBER(SEARCH("hub",$B$3))*ISNUMBER(SEARCH("hub",D21)),E21,0)+IF(ISNUMBER(SEARCH("black",$B$3))*ISNUMBER(SEARCH("black",D21)),E21,0)+IF(ISNUMBER(SEARCH("platinum",$B$3))*ISNUMBER(SEARCH("platinum",D21)),E21,0)+IF(ISNUMBER(SEARCH("usb",$B$3))*ISNUMBER(SEARCH("usb",D21)),E21,0)+IF(ISNUMBER(SEARCH("bold",$B$3))*ISNUMBER(SEARCH("bold",D21)),E21*2,0)+IF(ISNUMBER(SEARCH("slim",$B$3))*ISNUMBER(SEARCH("slim",D21)),E21*2,0)+IF(ISNUMBER(SEARCH("pro 11",$B$3))*ISNUMBER(SEARCH("pro 11",D21)),E21*2,0)+IF(ISNUMBER(SEARCH("storage",$B$3))*ISNUMBER(SEARCH("storage",D21)),E21,0)+IF(ISNUMBER(SEARCH("cover",$B$3))*ISNUMBER(SEARCH("cover",D21)),E21,0)+IF(ISNUMBER(SEARCH("pro 12-inch",$B$3))*ISNUMBER(SEARCH("pro 12-inch",D21)),E21*3,0)+IF(ISNUMBER(SEARCH("pro 12""",$B$3))*ISNUMBER(SEARCH("pro 12""",D21)),E21*3,0)))</f>
        <v>0</v>
      </c>
      <c r="K21" s="5">
        <f>IF(MAX($J$7:$J$26)=0,0,J21/MAX($J$7:$J$26))</f>
        <v>0</v>
      </c>
    </row>
    <row r="22" spans="1:11" x14ac:dyDescent="0.25">
      <c r="A22" t="s">
        <v>93</v>
      </c>
      <c r="B22" t="s">
        <v>94</v>
      </c>
      <c r="C22" t="s">
        <v>28</v>
      </c>
      <c r="D22" t="s">
        <v>104</v>
      </c>
      <c r="E22">
        <v>3</v>
      </c>
      <c r="F22" cm="1">
        <f t="array" ref="F22">SUMPRODUCT(($J$7:$J$21&gt;J22)+0)+SUMPRODUCT(($J$7:$J$21=J22)*($A$7:$A$21&lt;A22))+1</f>
        <v>11</v>
      </c>
      <c r="G22" s="9" t="str">
        <f>A22</f>
        <v>EP2-33129</v>
      </c>
      <c r="H22" s="9" t="str">
        <f>B22</f>
        <v xml:space="preserve">Surface Pro 12-inch Keyboard with Slim Pen - Black </v>
      </c>
      <c r="I22" s="9" t="str">
        <f>C22</f>
        <v>Keyboard</v>
      </c>
      <c r="J22" s="9">
        <f>IF($B$3="",0,(IF(ISNUMBER(SEARCH("keyboard",$B$3))*ISNUMBER(SEARCH("keyboard",D22)),E22,0)+IF(ISNUMBER(SEARCH("flex",$B$3))*ISNUMBER(SEARCH("flex",D22)),E22*2,0)+IF(ISNUMBER(SEARCH("dock",$B$3))*ISNUMBER(SEARCH("dock",D22)),E22*2,0)+IF(ISNUMBER(SEARCH("thunderbolt",$B$3))*ISNUMBER(SEARCH("thunderbolt",D22)),E22*3,0)+IF(ISNUMBER(SEARCH("pen",$B$3))*ISNUMBER(SEARCH("pen",D22)),E22,0)+IF(ISNUMBER(SEARCH("charger",$B$3))*ISNUMBER(SEARCH("charger",D22)),E22,0)+IF(ISNUMBER(SEARCH("hub",$B$3))*ISNUMBER(SEARCH("hub",D22)),E22,0)+IF(ISNUMBER(SEARCH("black",$B$3))*ISNUMBER(SEARCH("black",D22)),E22,0)+IF(ISNUMBER(SEARCH("platinum",$B$3))*ISNUMBER(SEARCH("platinum",D22)),E22,0)+IF(ISNUMBER(SEARCH("usb",$B$3))*ISNUMBER(SEARCH("usb",D22)),E22,0)+IF(ISNUMBER(SEARCH("bold",$B$3))*ISNUMBER(SEARCH("bold",D22)),E22*2,0)+IF(ISNUMBER(SEARCH("slim",$B$3))*ISNUMBER(SEARCH("slim",D22)),E22*2,0)+IF(ISNUMBER(SEARCH("pro 11",$B$3))*ISNUMBER(SEARCH("pro 11",D22)),E22*2,0)+IF(ISNUMBER(SEARCH("storage",$B$3))*ISNUMBER(SEARCH("storage",D22)),E22,0)+IF(ISNUMBER(SEARCH("cover",$B$3))*ISNUMBER(SEARCH("cover",D22)),E22,0)+IF(ISNUMBER(SEARCH("pro 12-inch",$B$3))*ISNUMBER(SEARCH("pro 12-inch",D22)),E22*3,0)+IF(ISNUMBER(SEARCH("pro 12""",$B$3))*ISNUMBER(SEARCH("pro 12""",D22)),E22*3,0)))</f>
        <v>0</v>
      </c>
      <c r="K22" s="10">
        <f>IF(MAX($J$7:$J$26)=0,0,J22/MAX($J$7:$J$26))</f>
        <v>0</v>
      </c>
    </row>
    <row r="23" spans="1:11" x14ac:dyDescent="0.25">
      <c r="A23" t="s">
        <v>95</v>
      </c>
      <c r="B23" t="s">
        <v>96</v>
      </c>
      <c r="C23" t="s">
        <v>28</v>
      </c>
      <c r="D23" t="s">
        <v>105</v>
      </c>
      <c r="E23">
        <v>2</v>
      </c>
      <c r="F23" cm="1">
        <f t="array" ref="F23">SUMPRODUCT(($J$7:$J$21&gt;J23)+0)+SUMPRODUCT(($J$7:$J$21=J23)*($A$7:$A$21&lt;A23))+1</f>
        <v>11</v>
      </c>
      <c r="G23" t="str">
        <f>A23</f>
        <v>EP2-32892</v>
      </c>
      <c r="H23" t="str">
        <f>B23</f>
        <v xml:space="preserve">Surface Pro 12-inch Keyboard - Black </v>
      </c>
      <c r="I23" t="str">
        <f>C23</f>
        <v>Keyboard</v>
      </c>
      <c r="J23">
        <f>IF($B$3="",0,(IF(ISNUMBER(SEARCH("keyboard",$B$3))*ISNUMBER(SEARCH("keyboard",D23)),E23,0)+IF(ISNUMBER(SEARCH("flex",$B$3))*ISNUMBER(SEARCH("flex",D23)),E23*2,0)+IF(ISNUMBER(SEARCH("dock",$B$3))*ISNUMBER(SEARCH("dock",D23)),E23*2,0)+IF(ISNUMBER(SEARCH("thunderbolt",$B$3))*ISNUMBER(SEARCH("thunderbolt",D23)),E23*3,0)+IF(ISNUMBER(SEARCH("pen",$B$3))*ISNUMBER(SEARCH("pen",D23)),E23,0)+IF(ISNUMBER(SEARCH("charger",$B$3))*ISNUMBER(SEARCH("charger",D23)),E23,0)+IF(ISNUMBER(SEARCH("hub",$B$3))*ISNUMBER(SEARCH("hub",D23)),E23,0)+IF(ISNUMBER(SEARCH("black",$B$3))*ISNUMBER(SEARCH("black",D23)),E23,0)+IF(ISNUMBER(SEARCH("platinum",$B$3))*ISNUMBER(SEARCH("platinum",D23)),E23,0)+IF(ISNUMBER(SEARCH("usb",$B$3))*ISNUMBER(SEARCH("usb",D23)),E23,0)+IF(ISNUMBER(SEARCH("bold",$B$3))*ISNUMBER(SEARCH("bold",D23)),E23*2,0)+IF(ISNUMBER(SEARCH("slim",$B$3))*ISNUMBER(SEARCH("slim",D23)),E23*2,0)+IF(ISNUMBER(SEARCH("pro 11",$B$3))*ISNUMBER(SEARCH("pro 11",D23)),E23*2,0)+IF(ISNUMBER(SEARCH("storage",$B$3))*ISNUMBER(SEARCH("storage",D23)),E23,0)+IF(ISNUMBER(SEARCH("cover",$B$3))*ISNUMBER(SEARCH("cover",D23)),E23,0)+IF(ISNUMBER(SEARCH("pro 12-inch",$B$3))*ISNUMBER(SEARCH("pro 12-inch",D23)),E23*3,0)+IF(ISNUMBER(SEARCH("pro 12""",$B$3))*ISNUMBER(SEARCH("pro 12""",D23)),E23*3,0)))</f>
        <v>0</v>
      </c>
      <c r="K23" s="5">
        <f>IF(MAX($J$7:$J$26)=0,0,J23/MAX($J$7:$J$26))</f>
        <v>0</v>
      </c>
    </row>
    <row r="24" spans="1:11" x14ac:dyDescent="0.25">
      <c r="A24" t="s">
        <v>97</v>
      </c>
      <c r="B24" t="s">
        <v>98</v>
      </c>
      <c r="C24" t="s">
        <v>28</v>
      </c>
      <c r="D24" t="s">
        <v>106</v>
      </c>
      <c r="E24">
        <v>3</v>
      </c>
      <c r="G24" s="9" t="str">
        <f>A24</f>
        <v>EP2-32894</v>
      </c>
      <c r="H24" s="7" t="str">
        <f>B24</f>
        <v xml:space="preserve">Surface Pro 12-inch Keyboard - with bold keyset - Black </v>
      </c>
      <c r="I24" s="7" t="str">
        <f>C24</f>
        <v>Keyboard</v>
      </c>
      <c r="J24" s="7">
        <f>IF($B$3="",0,(IF(ISNUMBER(SEARCH("keyboard",$B$3))*ISNUMBER(SEARCH("keyboard",D24)),E24,0)+IF(ISNUMBER(SEARCH("flex",$B$3))*ISNUMBER(SEARCH("flex",D24)),E24*2,0)+IF(ISNUMBER(SEARCH("dock",$B$3))*ISNUMBER(SEARCH("dock",D24)),E24*2,0)+IF(ISNUMBER(SEARCH("thunderbolt",$B$3))*ISNUMBER(SEARCH("thunderbolt",D24)),E24*3,0)+IF(ISNUMBER(SEARCH("pen",$B$3))*ISNUMBER(SEARCH("pen",D24)),E24,0)+IF(ISNUMBER(SEARCH("charger",$B$3))*ISNUMBER(SEARCH("charger",D24)),E24,0)+IF(ISNUMBER(SEARCH("hub",$B$3))*ISNUMBER(SEARCH("hub",D24)),E24,0)+IF(ISNUMBER(SEARCH("black",$B$3))*ISNUMBER(SEARCH("black",D24)),E24,0)+IF(ISNUMBER(SEARCH("platinum",$B$3))*ISNUMBER(SEARCH("platinum",D24)),E24,0)+IF(ISNUMBER(SEARCH("usb",$B$3))*ISNUMBER(SEARCH("usb",D24)),E24,0)+IF(ISNUMBER(SEARCH("bold",$B$3))*ISNUMBER(SEARCH("bold",D24)),E24*2,0)+IF(ISNUMBER(SEARCH("slim",$B$3))*ISNUMBER(SEARCH("slim",D24)),E24*2,0)+IF(ISNUMBER(SEARCH("pro 11",$B$3))*ISNUMBER(SEARCH("pro 11",D24)),E24*2,0)+IF(ISNUMBER(SEARCH("storage",$B$3))*ISNUMBER(SEARCH("storage",D24)),E24,0)+IF(ISNUMBER(SEARCH("cover",$B$3))*ISNUMBER(SEARCH("cover",D24)),E24,0)+IF(ISNUMBER(SEARCH("pro 12-inch",$B$3))*ISNUMBER(SEARCH("pro 12-inch",D24)),E24*3,0)+IF(ISNUMBER(SEARCH("pro 12""",$B$3))*ISNUMBER(SEARCH("pro 12""",D24)),E24*3,0)))</f>
        <v>0</v>
      </c>
      <c r="K24" s="10">
        <f>IF(MAX($J$7:$J$26)=0,0,J24/MAX($J$7:$J$26))</f>
        <v>0</v>
      </c>
    </row>
    <row r="25" spans="1:11" x14ac:dyDescent="0.25">
      <c r="A25" t="s">
        <v>99</v>
      </c>
      <c r="B25" t="s">
        <v>100</v>
      </c>
      <c r="C25" t="s">
        <v>38</v>
      </c>
      <c r="D25" t="s">
        <v>107</v>
      </c>
      <c r="E25">
        <v>2</v>
      </c>
      <c r="G25" t="str">
        <f>A25</f>
        <v>NJ1-00001</v>
      </c>
      <c r="H25" t="str">
        <f>B25</f>
        <v xml:space="preserve">Surface Slim Pen Tip Replacement 80-pack </v>
      </c>
      <c r="I25" t="str">
        <f>C25</f>
        <v>Pen Accessory</v>
      </c>
      <c r="J25">
        <f>IF($B$3="",0,(IF(ISNUMBER(SEARCH("keyboard",$B$3))*ISNUMBER(SEARCH("keyboard",D25)),E25,0)+IF(ISNUMBER(SEARCH("flex",$B$3))*ISNUMBER(SEARCH("flex",D25)),E25*2,0)+IF(ISNUMBER(SEARCH("dock",$B$3))*ISNUMBER(SEARCH("dock",D25)),E25*2,0)+IF(ISNUMBER(SEARCH("thunderbolt",$B$3))*ISNUMBER(SEARCH("thunderbolt",D25)),E25*3,0)+IF(ISNUMBER(SEARCH("pen",$B$3))*ISNUMBER(SEARCH("pen",D25)),E25,0)+IF(ISNUMBER(SEARCH("charger",$B$3))*ISNUMBER(SEARCH("charger",D25)),E25,0)+IF(ISNUMBER(SEARCH("hub",$B$3))*ISNUMBER(SEARCH("hub",D25)),E25,0)+IF(ISNUMBER(SEARCH("black",$B$3))*ISNUMBER(SEARCH("black",D25)),E25,0)+IF(ISNUMBER(SEARCH("platinum",$B$3))*ISNUMBER(SEARCH("platinum",D25)),E25,0)+IF(ISNUMBER(SEARCH("usb",$B$3))*ISNUMBER(SEARCH("usb",D25)),E25,0)+IF(ISNUMBER(SEARCH("bold",$B$3))*ISNUMBER(SEARCH("bold",D25)),E25*2,0)+IF(ISNUMBER(SEARCH("slim",$B$3))*ISNUMBER(SEARCH("slim",D25)),E25*2,0)+IF(ISNUMBER(SEARCH("pro 11",$B$3))*ISNUMBER(SEARCH("pro 11",D25)),E25*2,0)+IF(ISNUMBER(SEARCH("storage",$B$3))*ISNUMBER(SEARCH("storage",D25)),E25,0)+IF(ISNUMBER(SEARCH("cover",$B$3))*ISNUMBER(SEARCH("cover",D25)),E25,0)+IF(ISNUMBER(SEARCH("pro 12-inch",$B$3))*ISNUMBER(SEARCH("pro 12-inch",D25)),E25*3,0)+IF(ISNUMBER(SEARCH("pro 12""",$B$3))*ISNUMBER(SEARCH("pro 12""",D25)),E25*3,0)))</f>
        <v>0</v>
      </c>
      <c r="K25" s="5">
        <f>IF(MAX($J$7:$J$26)=0,0,J25/MAX($J$7:$J$26))</f>
        <v>0</v>
      </c>
    </row>
    <row r="26" spans="1:11" x14ac:dyDescent="0.25">
      <c r="A26" t="s">
        <v>101</v>
      </c>
      <c r="B26" t="s">
        <v>102</v>
      </c>
      <c r="C26" t="s">
        <v>103</v>
      </c>
      <c r="D26" t="s">
        <v>108</v>
      </c>
      <c r="E26">
        <v>2</v>
      </c>
      <c r="G26" s="9" t="str">
        <f>A26</f>
        <v>EP2-29830</v>
      </c>
      <c r="H26" t="str">
        <f>B26</f>
        <v xml:space="preserve">45w USB-C Power Supply Unit </v>
      </c>
      <c r="I26" t="str">
        <f>C26</f>
        <v>Misc.</v>
      </c>
      <c r="J26">
        <f>IF($B$3="",0,(IF(ISNUMBER(SEARCH("keyboard",$B$3))*ISNUMBER(SEARCH("keyboard",D26)),E26,0)+IF(ISNUMBER(SEARCH("flex",$B$3))*ISNUMBER(SEARCH("flex",D26)),E26*2,0)+IF(ISNUMBER(SEARCH("dock",$B$3))*ISNUMBER(SEARCH("dock",D26)),E26*2,0)+IF(ISNUMBER(SEARCH("thunderbolt",$B$3))*ISNUMBER(SEARCH("thunderbolt",D26)),E26*3,0)+IF(ISNUMBER(SEARCH("pen",$B$3))*ISNUMBER(SEARCH("pen",D26)),E26,0)+IF(ISNUMBER(SEARCH("charger",$B$3))*ISNUMBER(SEARCH("charger",D26)),E26,0)+IF(ISNUMBER(SEARCH("hub",$B$3))*ISNUMBER(SEARCH("hub",D26)),E26,0)+IF(ISNUMBER(SEARCH("black",$B$3))*ISNUMBER(SEARCH("black",D26)),E26,0)+IF(ISNUMBER(SEARCH("platinum",$B$3))*ISNUMBER(SEARCH("platinum",D26)),E26,0)+IF(ISNUMBER(SEARCH("usb",$B$3))*ISNUMBER(SEARCH("usb",D26)),E26,0)+IF(ISNUMBER(SEARCH("bold",$B$3))*ISNUMBER(SEARCH("bold",D26)),E26*2,0)+IF(ISNUMBER(SEARCH("slim",$B$3))*ISNUMBER(SEARCH("slim",D26)),E26*2,0)+IF(ISNUMBER(SEARCH("pro 11",$B$3))*ISNUMBER(SEARCH("pro 11",D26)),E26*2,0)+IF(ISNUMBER(SEARCH("storage",$B$3))*ISNUMBER(SEARCH("storage",D26)),E26,0)+IF(ISNUMBER(SEARCH("cover",$B$3))*ISNUMBER(SEARCH("cover",D26)),E26,0)+IF(ISNUMBER(SEARCH("pro 12-inch",$B$3))*ISNUMBER(SEARCH("pro 12-inch",D26)),E26*3,0)+IF(ISNUMBER(SEARCH("pro 12""",$B$3))*ISNUMBER(SEARCH("pro 12""",D26)),E26*3,0)))</f>
        <v>0</v>
      </c>
      <c r="K26" s="10">
        <f>IF(MAX($J$7:$J$26)=0,0,J26/MAX($J$7:$J$26))</f>
        <v>0</v>
      </c>
    </row>
    <row r="28" spans="1:11" x14ac:dyDescent="0.25">
      <c r="A28" t="s">
        <v>53</v>
      </c>
    </row>
    <row r="29" spans="1:11" x14ac:dyDescent="0.25">
      <c r="A29" t="s">
        <v>54</v>
      </c>
    </row>
    <row r="30" spans="1:11" x14ac:dyDescent="0.25">
      <c r="A30" t="s">
        <v>55</v>
      </c>
    </row>
    <row r="31" spans="1:11" x14ac:dyDescent="0.25">
      <c r="A31" t="s">
        <v>56</v>
      </c>
    </row>
    <row r="33" spans="1:3" ht="15.75" x14ac:dyDescent="0.25">
      <c r="A33" s="6" t="s">
        <v>57</v>
      </c>
    </row>
    <row r="34" spans="1:3" x14ac:dyDescent="0.25">
      <c r="A34" s="8" t="s">
        <v>58</v>
      </c>
      <c r="B34" s="8" t="s">
        <v>59</v>
      </c>
      <c r="C34" s="8" t="s">
        <v>60</v>
      </c>
    </row>
    <row r="35" spans="1:3" x14ac:dyDescent="0.25">
      <c r="A35" t="s">
        <v>61</v>
      </c>
      <c r="B35" t="s">
        <v>62</v>
      </c>
      <c r="C35" t="s">
        <v>63</v>
      </c>
    </row>
    <row r="36" spans="1:3" x14ac:dyDescent="0.25">
      <c r="A36" t="s">
        <v>64</v>
      </c>
      <c r="B36" t="s">
        <v>65</v>
      </c>
      <c r="C36" t="s">
        <v>63</v>
      </c>
    </row>
    <row r="37" spans="1:3" x14ac:dyDescent="0.25">
      <c r="A37" t="s">
        <v>67</v>
      </c>
      <c r="B37" t="s">
        <v>65</v>
      </c>
      <c r="C37" t="s">
        <v>66</v>
      </c>
    </row>
    <row r="38" spans="1:3" x14ac:dyDescent="0.25">
      <c r="A38" t="s">
        <v>68</v>
      </c>
      <c r="B38" t="s">
        <v>65</v>
      </c>
      <c r="C38" t="s">
        <v>66</v>
      </c>
    </row>
    <row r="39" spans="1:3" x14ac:dyDescent="0.25">
      <c r="A39" t="s">
        <v>69</v>
      </c>
      <c r="B39" t="s">
        <v>65</v>
      </c>
      <c r="C39" t="s">
        <v>66</v>
      </c>
    </row>
    <row r="40" spans="1:3" x14ac:dyDescent="0.25">
      <c r="A40" t="s">
        <v>70</v>
      </c>
      <c r="B40" t="s">
        <v>65</v>
      </c>
      <c r="C40" t="s">
        <v>66</v>
      </c>
    </row>
    <row r="41" spans="1:3" x14ac:dyDescent="0.25">
      <c r="A41" t="s">
        <v>71</v>
      </c>
      <c r="B41" t="s">
        <v>72</v>
      </c>
      <c r="C41" t="s">
        <v>73</v>
      </c>
    </row>
    <row r="42" spans="1:3" x14ac:dyDescent="0.25">
      <c r="A42" t="s">
        <v>74</v>
      </c>
      <c r="B42" t="s">
        <v>72</v>
      </c>
      <c r="C42" t="s">
        <v>73</v>
      </c>
    </row>
    <row r="43" spans="1:3" x14ac:dyDescent="0.25">
      <c r="A43" t="s">
        <v>75</v>
      </c>
      <c r="B43" t="s">
        <v>72</v>
      </c>
      <c r="C43" t="s">
        <v>73</v>
      </c>
    </row>
    <row r="44" spans="1:3" x14ac:dyDescent="0.25">
      <c r="A44" t="s">
        <v>76</v>
      </c>
      <c r="B44" t="s">
        <v>72</v>
      </c>
      <c r="C44" t="s">
        <v>73</v>
      </c>
    </row>
    <row r="45" spans="1:3" x14ac:dyDescent="0.25">
      <c r="A45" t="s">
        <v>77</v>
      </c>
      <c r="B45" t="s">
        <v>72</v>
      </c>
      <c r="C45" t="s">
        <v>73</v>
      </c>
    </row>
    <row r="46" spans="1:3" x14ac:dyDescent="0.25">
      <c r="A46" t="s">
        <v>78</v>
      </c>
      <c r="B46" t="s">
        <v>72</v>
      </c>
      <c r="C46" t="s">
        <v>73</v>
      </c>
    </row>
    <row r="47" spans="1:3" x14ac:dyDescent="0.25">
      <c r="A47" t="s">
        <v>79</v>
      </c>
      <c r="B47" t="s">
        <v>72</v>
      </c>
      <c r="C47" t="s">
        <v>73</v>
      </c>
    </row>
    <row r="48" spans="1:3" x14ac:dyDescent="0.25">
      <c r="A48" t="s">
        <v>80</v>
      </c>
      <c r="B48" t="s">
        <v>72</v>
      </c>
      <c r="C48" t="s">
        <v>73</v>
      </c>
    </row>
    <row r="49" spans="1:3" x14ac:dyDescent="0.25">
      <c r="A49" t="s">
        <v>81</v>
      </c>
      <c r="B49" t="s">
        <v>72</v>
      </c>
      <c r="C49" t="s">
        <v>73</v>
      </c>
    </row>
    <row r="50" spans="1:3" x14ac:dyDescent="0.25">
      <c r="A50" t="s">
        <v>109</v>
      </c>
      <c r="B50" t="s">
        <v>65</v>
      </c>
      <c r="C50" t="s">
        <v>63</v>
      </c>
    </row>
    <row r="51" spans="1:3" x14ac:dyDescent="0.25">
      <c r="A51" t="s">
        <v>110</v>
      </c>
      <c r="B51" t="s">
        <v>65</v>
      </c>
      <c r="C51" t="s">
        <v>63</v>
      </c>
    </row>
    <row r="52" spans="1:3" x14ac:dyDescent="0.25">
      <c r="A52" t="s">
        <v>111</v>
      </c>
      <c r="B52" t="s">
        <v>65</v>
      </c>
      <c r="C52" t="s">
        <v>66</v>
      </c>
    </row>
    <row r="53" spans="1:3" x14ac:dyDescent="0.25">
      <c r="A53" t="s">
        <v>112</v>
      </c>
      <c r="B53" t="s">
        <v>65</v>
      </c>
      <c r="C53" t="s">
        <v>66</v>
      </c>
    </row>
  </sheetData>
  <mergeCells count="1">
    <mergeCell ref="B3:F3"/>
  </mergeCells>
  <conditionalFormatting sqref="J7:J2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28E8-75FF-4172-8659-AAB9C9606E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AccessoryMatcher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Brigham</dc:creator>
  <cp:lastModifiedBy>Audrey Brigham</cp:lastModifiedBy>
  <dcterms:created xsi:type="dcterms:W3CDTF">2026-05-14T08:22:05Z</dcterms:created>
  <dcterms:modified xsi:type="dcterms:W3CDTF">2026-05-14T09:35:49Z</dcterms:modified>
</cp:coreProperties>
</file>